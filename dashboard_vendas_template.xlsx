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Venda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.00"/>
    <numFmt numFmtId="167" formatCode="mmm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  <color rgb="00FFFFFF"/>
      <sz val="11"/>
    </font>
    <font>
      <b val="1"/>
      <color rgb="00107C10"/>
      <sz val="18"/>
    </font>
  </fonts>
  <fills count="5">
    <fill>
      <patternFill/>
    </fill>
    <fill>
      <patternFill patternType="gray125"/>
    </fill>
    <fill>
      <patternFill patternType="solid">
        <fgColor rgb="00107C10"/>
      </patternFill>
    </fill>
    <fill>
      <patternFill patternType="solid">
        <fgColor rgb="0022222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Produto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Canal</a:t>
            </a:r>
          </a:p>
        </rich>
      </tx>
    </title>
    <plotArea>
      <pieChart>
        <varyColors val="1"/>
        <ser>
          <idx val="0"/>
          <order val="0"/>
          <tx>
            <strRef>
              <f>'Dashboard'!E8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'Dashboard'!$D$9:$D$11</f>
            </numRef>
          </cat>
          <val>
            <numRef>
              <f>'Dashboard'!$E$9:$E$11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'Dashboard'!$G$9:$G$20</f>
            </numRef>
          </cat>
          <val>
            <numRef>
              <f>'Dashboard'!$H$9:$H$20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29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Vendas" displayName="TabelaVendas" ref="A1:I61" headerRowCount="1">
  <autoFilter ref="A1:I61"/>
  <tableColumns count="9">
    <tableColumn id="1" name="Data"/>
    <tableColumn id="2" name="Pedido"/>
    <tableColumn id="3" name="Produto"/>
    <tableColumn id="4" name="Categoria"/>
    <tableColumn id="5" name="Canal"/>
    <tableColumn id="6" name="Região"/>
    <tableColumn id="7" name="Quantidade"/>
    <tableColumn id="8" name="Preço Unitário (R$)"/>
    <tableColumn id="9" name="Faturamento (R$)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8" customWidth="1" min="5" max="5"/>
    <col width="18" customWidth="1" min="6" max="6"/>
    <col width="14" customWidth="1" min="7" max="7"/>
    <col width="22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Pedido</t>
        </is>
      </c>
      <c r="C1" s="1" t="inlineStr">
        <is>
          <t>Produto</t>
        </is>
      </c>
      <c r="D1" s="1" t="inlineStr">
        <is>
          <t>Categoria</t>
        </is>
      </c>
      <c r="E1" s="1" t="inlineStr">
        <is>
          <t>Canal</t>
        </is>
      </c>
      <c r="F1" s="1" t="inlineStr">
        <is>
          <t>Região</t>
        </is>
      </c>
      <c r="G1" s="1" t="inlineStr">
        <is>
          <t>Quantidade</t>
        </is>
      </c>
      <c r="H1" s="1" t="inlineStr">
        <is>
          <t>Preço Unitário (R$)</t>
        </is>
      </c>
      <c r="I1" s="1" t="inlineStr">
        <is>
          <t>Faturamento (R$)</t>
        </is>
      </c>
    </row>
    <row r="2">
      <c r="A2" s="2" t="n">
        <v>46080</v>
      </c>
      <c r="B2" t="inlineStr">
        <is>
          <t>PED-0001</t>
        </is>
      </c>
      <c r="C2" t="inlineStr">
        <is>
          <t>Console Xbox</t>
        </is>
      </c>
      <c r="D2" t="inlineStr">
        <is>
          <t>Hardware</t>
        </is>
      </c>
      <c r="E2" t="inlineStr">
        <is>
          <t>Online</t>
        </is>
      </c>
      <c r="F2" t="inlineStr">
        <is>
          <t>Sul</t>
        </is>
      </c>
      <c r="G2" t="n">
        <v>3</v>
      </c>
      <c r="H2" s="3" t="n">
        <v>2499.9</v>
      </c>
      <c r="I2" s="3">
        <f>G2*H2</f>
        <v/>
      </c>
    </row>
    <row r="3">
      <c r="A3" s="2" t="n">
        <v>46094</v>
      </c>
      <c r="B3" t="inlineStr">
        <is>
          <t>PED-0002</t>
        </is>
      </c>
      <c r="C3" t="inlineStr">
        <is>
          <t>Console Xbox</t>
        </is>
      </c>
      <c r="D3" t="inlineStr">
        <is>
          <t>Hardware</t>
        </is>
      </c>
      <c r="E3" t="inlineStr">
        <is>
          <t>Online</t>
        </is>
      </c>
      <c r="F3" t="inlineStr">
        <is>
          <t>Norte</t>
        </is>
      </c>
      <c r="G3" t="n">
        <v>5</v>
      </c>
      <c r="H3" s="3" t="n">
        <v>2499.9</v>
      </c>
      <c r="I3" s="3">
        <f>G3*H3</f>
        <v/>
      </c>
    </row>
    <row r="4">
      <c r="A4" s="2" t="n">
        <v>46239</v>
      </c>
      <c r="B4" t="inlineStr">
        <is>
          <t>PED-0003</t>
        </is>
      </c>
      <c r="C4" t="inlineStr">
        <is>
          <t>Console Xbox</t>
        </is>
      </c>
      <c r="D4" t="inlineStr">
        <is>
          <t>Hardware</t>
        </is>
      </c>
      <c r="E4" t="inlineStr">
        <is>
          <t>Online</t>
        </is>
      </c>
      <c r="F4" t="inlineStr">
        <is>
          <t>Sul</t>
        </is>
      </c>
      <c r="G4" t="n">
        <v>1</v>
      </c>
      <c r="H4" s="3" t="n">
        <v>2499.9</v>
      </c>
      <c r="I4" s="3">
        <f>G4*H4</f>
        <v/>
      </c>
    </row>
    <row r="5">
      <c r="A5" s="2" t="n">
        <v>46142</v>
      </c>
      <c r="B5" t="inlineStr">
        <is>
          <t>PED-0004</t>
        </is>
      </c>
      <c r="C5" t="inlineStr">
        <is>
          <t>Jogo Digital</t>
        </is>
      </c>
      <c r="D5" t="inlineStr">
        <is>
          <t>Jogos</t>
        </is>
      </c>
      <c r="E5" t="inlineStr">
        <is>
          <t>Online</t>
        </is>
      </c>
      <c r="F5" t="inlineStr">
        <is>
          <t>Norte</t>
        </is>
      </c>
      <c r="G5" t="n">
        <v>5</v>
      </c>
      <c r="H5" s="3" t="n">
        <v>299.9</v>
      </c>
      <c r="I5" s="3">
        <f>G5*H5</f>
        <v/>
      </c>
    </row>
    <row r="6">
      <c r="A6" s="2" t="n">
        <v>46124</v>
      </c>
      <c r="B6" t="inlineStr">
        <is>
          <t>PED-0005</t>
        </is>
      </c>
      <c r="C6" t="inlineStr">
        <is>
          <t>Jogo Digital</t>
        </is>
      </c>
      <c r="D6" t="inlineStr">
        <is>
          <t>Jogos</t>
        </is>
      </c>
      <c r="E6" t="inlineStr">
        <is>
          <t>Online</t>
        </is>
      </c>
      <c r="F6" t="inlineStr">
        <is>
          <t>Centro-Oeste</t>
        </is>
      </c>
      <c r="G6" t="n">
        <v>4</v>
      </c>
      <c r="H6" s="3" t="n">
        <v>299.9</v>
      </c>
      <c r="I6" s="3">
        <f>G6*H6</f>
        <v/>
      </c>
    </row>
    <row r="7">
      <c r="A7" s="2" t="n">
        <v>46165</v>
      </c>
      <c r="B7" t="inlineStr">
        <is>
          <t>PED-0006</t>
        </is>
      </c>
      <c r="C7" t="inlineStr">
        <is>
          <t>Console Xbox</t>
        </is>
      </c>
      <c r="D7" t="inlineStr">
        <is>
          <t>Hardware</t>
        </is>
      </c>
      <c r="E7" t="inlineStr">
        <is>
          <t>Marketplace</t>
        </is>
      </c>
      <c r="F7" t="inlineStr">
        <is>
          <t>Centro-Oeste</t>
        </is>
      </c>
      <c r="G7" t="n">
        <v>2</v>
      </c>
      <c r="H7" s="3" t="n">
        <v>2499.9</v>
      </c>
      <c r="I7" s="3">
        <f>G7*H7</f>
        <v/>
      </c>
    </row>
    <row r="8">
      <c r="A8" s="2" t="n">
        <v>46197</v>
      </c>
      <c r="B8" t="inlineStr">
        <is>
          <t>PED-0007</t>
        </is>
      </c>
      <c r="C8" t="inlineStr">
        <is>
          <t>Headset Gamer</t>
        </is>
      </c>
      <c r="D8" t="inlineStr">
        <is>
          <t>Acessórios</t>
        </is>
      </c>
      <c r="E8" t="inlineStr">
        <is>
          <t>Online</t>
        </is>
      </c>
      <c r="F8" t="inlineStr">
        <is>
          <t>Nordeste</t>
        </is>
      </c>
      <c r="G8" t="n">
        <v>2</v>
      </c>
      <c r="H8" s="3" t="n">
        <v>499.9</v>
      </c>
      <c r="I8" s="3">
        <f>G8*H8</f>
        <v/>
      </c>
    </row>
    <row r="9">
      <c r="A9" s="2" t="n">
        <v>46075</v>
      </c>
      <c r="B9" t="inlineStr">
        <is>
          <t>PED-0008</t>
        </is>
      </c>
      <c r="C9" t="inlineStr">
        <is>
          <t>Console Xbox</t>
        </is>
      </c>
      <c r="D9" t="inlineStr">
        <is>
          <t>Hardware</t>
        </is>
      </c>
      <c r="E9" t="inlineStr">
        <is>
          <t>Online</t>
        </is>
      </c>
      <c r="F9" t="inlineStr">
        <is>
          <t>Nordeste</t>
        </is>
      </c>
      <c r="G9" t="n">
        <v>4</v>
      </c>
      <c r="H9" s="3" t="n">
        <v>2499.9</v>
      </c>
      <c r="I9" s="3">
        <f>G9*H9</f>
        <v/>
      </c>
    </row>
    <row r="10">
      <c r="A10" s="2" t="n">
        <v>46199</v>
      </c>
      <c r="B10" t="inlineStr">
        <is>
          <t>PED-0009</t>
        </is>
      </c>
      <c r="C10" t="inlineStr">
        <is>
          <t>Jogo Digital</t>
        </is>
      </c>
      <c r="D10" t="inlineStr">
        <is>
          <t>Jogos</t>
        </is>
      </c>
      <c r="E10" t="inlineStr">
        <is>
          <t>Online</t>
        </is>
      </c>
      <c r="F10" t="inlineStr">
        <is>
          <t>Centro-Oeste</t>
        </is>
      </c>
      <c r="G10" t="n">
        <v>3</v>
      </c>
      <c r="H10" s="3" t="n">
        <v>299.9</v>
      </c>
      <c r="I10" s="3">
        <f>G10*H10</f>
        <v/>
      </c>
    </row>
    <row r="11">
      <c r="A11" s="2" t="n">
        <v>46297</v>
      </c>
      <c r="B11" t="inlineStr">
        <is>
          <t>PED-0010</t>
        </is>
      </c>
      <c r="C11" t="inlineStr">
        <is>
          <t>Console Xbox</t>
        </is>
      </c>
      <c r="D11" t="inlineStr">
        <is>
          <t>Hardware</t>
        </is>
      </c>
      <c r="E11" t="inlineStr">
        <is>
          <t>Online</t>
        </is>
      </c>
      <c r="F11" t="inlineStr">
        <is>
          <t>Norte</t>
        </is>
      </c>
      <c r="G11" t="n">
        <v>4</v>
      </c>
      <c r="H11" s="3" t="n">
        <v>2499.9</v>
      </c>
      <c r="I11" s="3">
        <f>G11*H11</f>
        <v/>
      </c>
    </row>
    <row r="12">
      <c r="A12" s="2" t="n">
        <v>46173</v>
      </c>
      <c r="B12" t="inlineStr">
        <is>
          <t>PED-0011</t>
        </is>
      </c>
      <c r="C12" t="inlineStr">
        <is>
          <t>Jogo Digital</t>
        </is>
      </c>
      <c r="D12" t="inlineStr">
        <is>
          <t>Jogos</t>
        </is>
      </c>
      <c r="E12" t="inlineStr">
        <is>
          <t>Marketplace</t>
        </is>
      </c>
      <c r="F12" t="inlineStr">
        <is>
          <t>Sul</t>
        </is>
      </c>
      <c r="G12" t="n">
        <v>3</v>
      </c>
      <c r="H12" s="3" t="n">
        <v>299.9</v>
      </c>
      <c r="I12" s="3">
        <f>G12*H12</f>
        <v/>
      </c>
    </row>
    <row r="13">
      <c r="A13" s="2" t="n">
        <v>46058</v>
      </c>
      <c r="B13" t="inlineStr">
        <is>
          <t>PED-0012</t>
        </is>
      </c>
      <c r="C13" t="inlineStr">
        <is>
          <t>Console Xbox</t>
        </is>
      </c>
      <c r="D13" t="inlineStr">
        <is>
          <t>Hardware</t>
        </is>
      </c>
      <c r="E13" t="inlineStr">
        <is>
          <t>Loja Física</t>
        </is>
      </c>
      <c r="F13" t="inlineStr">
        <is>
          <t>Sudeste</t>
        </is>
      </c>
      <c r="G13" t="n">
        <v>2</v>
      </c>
      <c r="H13" s="3" t="n">
        <v>2499.9</v>
      </c>
      <c r="I13" s="3">
        <f>G13*H13</f>
        <v/>
      </c>
    </row>
    <row r="14">
      <c r="A14" s="2" t="n">
        <v>46142</v>
      </c>
      <c r="B14" t="inlineStr">
        <is>
          <t>PED-0013</t>
        </is>
      </c>
      <c r="C14" t="inlineStr">
        <is>
          <t>Console Xbox</t>
        </is>
      </c>
      <c r="D14" t="inlineStr">
        <is>
          <t>Hardware</t>
        </is>
      </c>
      <c r="E14" t="inlineStr">
        <is>
          <t>Loja Física</t>
        </is>
      </c>
      <c r="F14" t="inlineStr">
        <is>
          <t>Centro-Oeste</t>
        </is>
      </c>
      <c r="G14" t="n">
        <v>4</v>
      </c>
      <c r="H14" s="3" t="n">
        <v>2499.9</v>
      </c>
      <c r="I14" s="3">
        <f>G14*H14</f>
        <v/>
      </c>
    </row>
    <row r="15">
      <c r="A15" s="2" t="n">
        <v>46209</v>
      </c>
      <c r="B15" t="inlineStr">
        <is>
          <t>PED-0014</t>
        </is>
      </c>
      <c r="C15" t="inlineStr">
        <is>
          <t>Controle Xbox</t>
        </is>
      </c>
      <c r="D15" t="inlineStr">
        <is>
          <t>Acessórios</t>
        </is>
      </c>
      <c r="E15" t="inlineStr">
        <is>
          <t>Loja Física</t>
        </is>
      </c>
      <c r="F15" t="inlineStr">
        <is>
          <t>Sul</t>
        </is>
      </c>
      <c r="G15" t="n">
        <v>3</v>
      </c>
      <c r="H15" s="3" t="n">
        <v>349.9</v>
      </c>
      <c r="I15" s="3">
        <f>G15*H15</f>
        <v/>
      </c>
    </row>
    <row r="16">
      <c r="A16" s="2" t="n">
        <v>46159</v>
      </c>
      <c r="B16" t="inlineStr">
        <is>
          <t>PED-0015</t>
        </is>
      </c>
      <c r="C16" t="inlineStr">
        <is>
          <t>Console Xbox</t>
        </is>
      </c>
      <c r="D16" t="inlineStr">
        <is>
          <t>Hardware</t>
        </is>
      </c>
      <c r="E16" t="inlineStr">
        <is>
          <t>Marketplace</t>
        </is>
      </c>
      <c r="F16" t="inlineStr">
        <is>
          <t>Sul</t>
        </is>
      </c>
      <c r="G16" t="n">
        <v>5</v>
      </c>
      <c r="H16" s="3" t="n">
        <v>2499.9</v>
      </c>
      <c r="I16" s="3">
        <f>G16*H16</f>
        <v/>
      </c>
    </row>
    <row r="17">
      <c r="A17" s="2" t="n">
        <v>46296</v>
      </c>
      <c r="B17" t="inlineStr">
        <is>
          <t>PED-0016</t>
        </is>
      </c>
      <c r="C17" t="inlineStr">
        <is>
          <t>Controle Xbox</t>
        </is>
      </c>
      <c r="D17" t="inlineStr">
        <is>
          <t>Acessórios</t>
        </is>
      </c>
      <c r="E17" t="inlineStr">
        <is>
          <t>Loja Física</t>
        </is>
      </c>
      <c r="F17" t="inlineStr">
        <is>
          <t>Centro-Oeste</t>
        </is>
      </c>
      <c r="G17" t="n">
        <v>2</v>
      </c>
      <c r="H17" s="3" t="n">
        <v>349.9</v>
      </c>
      <c r="I17" s="3">
        <f>G17*H17</f>
        <v/>
      </c>
    </row>
    <row r="18">
      <c r="A18" s="2" t="n">
        <v>46161</v>
      </c>
      <c r="B18" t="inlineStr">
        <is>
          <t>PED-0017</t>
        </is>
      </c>
      <c r="C18" t="inlineStr">
        <is>
          <t>Jogo Digital</t>
        </is>
      </c>
      <c r="D18" t="inlineStr">
        <is>
          <t>Jogos</t>
        </is>
      </c>
      <c r="E18" t="inlineStr">
        <is>
          <t>Marketplace</t>
        </is>
      </c>
      <c r="F18" t="inlineStr">
        <is>
          <t>Nordeste</t>
        </is>
      </c>
      <c r="G18" t="n">
        <v>2</v>
      </c>
      <c r="H18" s="3" t="n">
        <v>299.9</v>
      </c>
      <c r="I18" s="3">
        <f>G18*H18</f>
        <v/>
      </c>
    </row>
    <row r="19">
      <c r="A19" s="2" t="n">
        <v>46051</v>
      </c>
      <c r="B19" t="inlineStr">
        <is>
          <t>PED-0018</t>
        </is>
      </c>
      <c r="C19" t="inlineStr">
        <is>
          <t>Controle Xbox</t>
        </is>
      </c>
      <c r="D19" t="inlineStr">
        <is>
          <t>Acessórios</t>
        </is>
      </c>
      <c r="E19" t="inlineStr">
        <is>
          <t>Loja Física</t>
        </is>
      </c>
      <c r="F19" t="inlineStr">
        <is>
          <t>Centro-Oeste</t>
        </is>
      </c>
      <c r="G19" t="n">
        <v>1</v>
      </c>
      <c r="H19" s="3" t="n">
        <v>349.9</v>
      </c>
      <c r="I19" s="3">
        <f>G19*H19</f>
        <v/>
      </c>
    </row>
    <row r="20">
      <c r="A20" s="2" t="n">
        <v>46160</v>
      </c>
      <c r="B20" t="inlineStr">
        <is>
          <t>PED-0019</t>
        </is>
      </c>
      <c r="C20" t="inlineStr">
        <is>
          <t>Console Xbox</t>
        </is>
      </c>
      <c r="D20" t="inlineStr">
        <is>
          <t>Hardware</t>
        </is>
      </c>
      <c r="E20" t="inlineStr">
        <is>
          <t>Marketplace</t>
        </is>
      </c>
      <c r="F20" t="inlineStr">
        <is>
          <t>Nordeste</t>
        </is>
      </c>
      <c r="G20" t="n">
        <v>2</v>
      </c>
      <c r="H20" s="3" t="n">
        <v>2499.9</v>
      </c>
      <c r="I20" s="3">
        <f>G20*H20</f>
        <v/>
      </c>
    </row>
    <row r="21">
      <c r="A21" s="2" t="n">
        <v>46131</v>
      </c>
      <c r="B21" t="inlineStr">
        <is>
          <t>PED-0020</t>
        </is>
      </c>
      <c r="C21" t="inlineStr">
        <is>
          <t>Game Pass</t>
        </is>
      </c>
      <c r="D21" t="inlineStr">
        <is>
          <t>Assinatura</t>
        </is>
      </c>
      <c r="E21" t="inlineStr">
        <is>
          <t>Marketplace</t>
        </is>
      </c>
      <c r="F21" t="inlineStr">
        <is>
          <t>Centro-Oeste</t>
        </is>
      </c>
      <c r="G21" t="n">
        <v>4</v>
      </c>
      <c r="H21" s="3" t="n">
        <v>59.9</v>
      </c>
      <c r="I21" s="3">
        <f>G21*H21</f>
        <v/>
      </c>
    </row>
    <row r="22">
      <c r="A22" s="2" t="n">
        <v>46096</v>
      </c>
      <c r="B22" t="inlineStr">
        <is>
          <t>PED-0021</t>
        </is>
      </c>
      <c r="C22" t="inlineStr">
        <is>
          <t>Headset Gamer</t>
        </is>
      </c>
      <c r="D22" t="inlineStr">
        <is>
          <t>Acessórios</t>
        </is>
      </c>
      <c r="E22" t="inlineStr">
        <is>
          <t>Online</t>
        </is>
      </c>
      <c r="F22" t="inlineStr">
        <is>
          <t>Norte</t>
        </is>
      </c>
      <c r="G22" t="n">
        <v>2</v>
      </c>
      <c r="H22" s="3" t="n">
        <v>499.9</v>
      </c>
      <c r="I22" s="3">
        <f>G22*H22</f>
        <v/>
      </c>
    </row>
    <row r="23">
      <c r="A23" s="2" t="n">
        <v>46298</v>
      </c>
      <c r="B23" t="inlineStr">
        <is>
          <t>PED-0022</t>
        </is>
      </c>
      <c r="C23" t="inlineStr">
        <is>
          <t>Headset Gamer</t>
        </is>
      </c>
      <c r="D23" t="inlineStr">
        <is>
          <t>Acessórios</t>
        </is>
      </c>
      <c r="E23" t="inlineStr">
        <is>
          <t>Loja Física</t>
        </is>
      </c>
      <c r="F23" t="inlineStr">
        <is>
          <t>Norte</t>
        </is>
      </c>
      <c r="G23" t="n">
        <v>5</v>
      </c>
      <c r="H23" s="3" t="n">
        <v>499.9</v>
      </c>
      <c r="I23" s="3">
        <f>G23*H23</f>
        <v/>
      </c>
    </row>
    <row r="24">
      <c r="A24" s="2" t="n">
        <v>46227</v>
      </c>
      <c r="B24" t="inlineStr">
        <is>
          <t>PED-0023</t>
        </is>
      </c>
      <c r="C24" t="inlineStr">
        <is>
          <t>Headset Gamer</t>
        </is>
      </c>
      <c r="D24" t="inlineStr">
        <is>
          <t>Acessórios</t>
        </is>
      </c>
      <c r="E24" t="inlineStr">
        <is>
          <t>Online</t>
        </is>
      </c>
      <c r="F24" t="inlineStr">
        <is>
          <t>Norte</t>
        </is>
      </c>
      <c r="G24" t="n">
        <v>2</v>
      </c>
      <c r="H24" s="3" t="n">
        <v>499.9</v>
      </c>
      <c r="I24" s="3">
        <f>G24*H24</f>
        <v/>
      </c>
    </row>
    <row r="25">
      <c r="A25" s="2" t="n">
        <v>46275</v>
      </c>
      <c r="B25" t="inlineStr">
        <is>
          <t>PED-0024</t>
        </is>
      </c>
      <c r="C25" t="inlineStr">
        <is>
          <t>Console Xbox</t>
        </is>
      </c>
      <c r="D25" t="inlineStr">
        <is>
          <t>Hardware</t>
        </is>
      </c>
      <c r="E25" t="inlineStr">
        <is>
          <t>Online</t>
        </is>
      </c>
      <c r="F25" t="inlineStr">
        <is>
          <t>Sul</t>
        </is>
      </c>
      <c r="G25" t="n">
        <v>1</v>
      </c>
      <c r="H25" s="3" t="n">
        <v>2499.9</v>
      </c>
      <c r="I25" s="3">
        <f>G25*H25</f>
        <v/>
      </c>
    </row>
    <row r="26">
      <c r="A26" s="2" t="n">
        <v>46104</v>
      </c>
      <c r="B26" t="inlineStr">
        <is>
          <t>PED-0025</t>
        </is>
      </c>
      <c r="C26" t="inlineStr">
        <is>
          <t>Game Pass</t>
        </is>
      </c>
      <c r="D26" t="inlineStr">
        <is>
          <t>Assinatura</t>
        </is>
      </c>
      <c r="E26" t="inlineStr">
        <is>
          <t>Online</t>
        </is>
      </c>
      <c r="F26" t="inlineStr">
        <is>
          <t>Centro-Oeste</t>
        </is>
      </c>
      <c r="G26" t="n">
        <v>5</v>
      </c>
      <c r="H26" s="3" t="n">
        <v>59.9</v>
      </c>
      <c r="I26" s="3">
        <f>G26*H26</f>
        <v/>
      </c>
    </row>
    <row r="27">
      <c r="A27" s="2" t="n">
        <v>46218</v>
      </c>
      <c r="B27" t="inlineStr">
        <is>
          <t>PED-0026</t>
        </is>
      </c>
      <c r="C27" t="inlineStr">
        <is>
          <t>Jogo Digital</t>
        </is>
      </c>
      <c r="D27" t="inlineStr">
        <is>
          <t>Jogos</t>
        </is>
      </c>
      <c r="E27" t="inlineStr">
        <is>
          <t>Marketplace</t>
        </is>
      </c>
      <c r="F27" t="inlineStr">
        <is>
          <t>Nordeste</t>
        </is>
      </c>
      <c r="G27" t="n">
        <v>4</v>
      </c>
      <c r="H27" s="3" t="n">
        <v>299.9</v>
      </c>
      <c r="I27" s="3">
        <f>G27*H27</f>
        <v/>
      </c>
    </row>
    <row r="28">
      <c r="A28" s="2" t="n">
        <v>46306</v>
      </c>
      <c r="B28" t="inlineStr">
        <is>
          <t>PED-0027</t>
        </is>
      </c>
      <c r="C28" t="inlineStr">
        <is>
          <t>Console Xbox</t>
        </is>
      </c>
      <c r="D28" t="inlineStr">
        <is>
          <t>Hardware</t>
        </is>
      </c>
      <c r="E28" t="inlineStr">
        <is>
          <t>Marketplace</t>
        </is>
      </c>
      <c r="F28" t="inlineStr">
        <is>
          <t>Norte</t>
        </is>
      </c>
      <c r="G28" t="n">
        <v>1</v>
      </c>
      <c r="H28" s="3" t="n">
        <v>2499.9</v>
      </c>
      <c r="I28" s="3">
        <f>G28*H28</f>
        <v/>
      </c>
    </row>
    <row r="29">
      <c r="A29" s="2" t="n">
        <v>46159</v>
      </c>
      <c r="B29" t="inlineStr">
        <is>
          <t>PED-0028</t>
        </is>
      </c>
      <c r="C29" t="inlineStr">
        <is>
          <t>Headset Gamer</t>
        </is>
      </c>
      <c r="D29" t="inlineStr">
        <is>
          <t>Acessórios</t>
        </is>
      </c>
      <c r="E29" t="inlineStr">
        <is>
          <t>Loja Física</t>
        </is>
      </c>
      <c r="F29" t="inlineStr">
        <is>
          <t>Centro-Oeste</t>
        </is>
      </c>
      <c r="G29" t="n">
        <v>1</v>
      </c>
      <c r="H29" s="3" t="n">
        <v>499.9</v>
      </c>
      <c r="I29" s="3">
        <f>G29*H29</f>
        <v/>
      </c>
    </row>
    <row r="30">
      <c r="A30" s="2" t="n">
        <v>46103</v>
      </c>
      <c r="B30" t="inlineStr">
        <is>
          <t>PED-0029</t>
        </is>
      </c>
      <c r="C30" t="inlineStr">
        <is>
          <t>Game Pass</t>
        </is>
      </c>
      <c r="D30" t="inlineStr">
        <is>
          <t>Assinatura</t>
        </is>
      </c>
      <c r="E30" t="inlineStr">
        <is>
          <t>Marketplace</t>
        </is>
      </c>
      <c r="F30" t="inlineStr">
        <is>
          <t>Nordeste</t>
        </is>
      </c>
      <c r="G30" t="n">
        <v>1</v>
      </c>
      <c r="H30" s="3" t="n">
        <v>59.9</v>
      </c>
      <c r="I30" s="3">
        <f>G30*H30</f>
        <v/>
      </c>
    </row>
    <row r="31">
      <c r="A31" s="2" t="n">
        <v>46279</v>
      </c>
      <c r="B31" t="inlineStr">
        <is>
          <t>PED-0030</t>
        </is>
      </c>
      <c r="C31" t="inlineStr">
        <is>
          <t>Controle Xbox</t>
        </is>
      </c>
      <c r="D31" t="inlineStr">
        <is>
          <t>Acessórios</t>
        </is>
      </c>
      <c r="E31" t="inlineStr">
        <is>
          <t>Online</t>
        </is>
      </c>
      <c r="F31" t="inlineStr">
        <is>
          <t>Nordeste</t>
        </is>
      </c>
      <c r="G31" t="n">
        <v>5</v>
      </c>
      <c r="H31" s="3" t="n">
        <v>349.9</v>
      </c>
      <c r="I31" s="3">
        <f>G31*H31</f>
        <v/>
      </c>
    </row>
    <row r="32">
      <c r="A32" s="2" t="n">
        <v>46282</v>
      </c>
      <c r="B32" t="inlineStr">
        <is>
          <t>PED-0031</t>
        </is>
      </c>
      <c r="C32" t="inlineStr">
        <is>
          <t>Jogo Digital</t>
        </is>
      </c>
      <c r="D32" t="inlineStr">
        <is>
          <t>Jogos</t>
        </is>
      </c>
      <c r="E32" t="inlineStr">
        <is>
          <t>Online</t>
        </is>
      </c>
      <c r="F32" t="inlineStr">
        <is>
          <t>Nordeste</t>
        </is>
      </c>
      <c r="G32" t="n">
        <v>2</v>
      </c>
      <c r="H32" s="3" t="n">
        <v>299.9</v>
      </c>
      <c r="I32" s="3">
        <f>G32*H32</f>
        <v/>
      </c>
    </row>
    <row r="33">
      <c r="A33" s="2" t="n">
        <v>46105</v>
      </c>
      <c r="B33" t="inlineStr">
        <is>
          <t>PED-0032</t>
        </is>
      </c>
      <c r="C33" t="inlineStr">
        <is>
          <t>Jogo Digital</t>
        </is>
      </c>
      <c r="D33" t="inlineStr">
        <is>
          <t>Jogos</t>
        </is>
      </c>
      <c r="E33" t="inlineStr">
        <is>
          <t>Online</t>
        </is>
      </c>
      <c r="F33" t="inlineStr">
        <is>
          <t>Norte</t>
        </is>
      </c>
      <c r="G33" t="n">
        <v>5</v>
      </c>
      <c r="H33" s="3" t="n">
        <v>299.9</v>
      </c>
      <c r="I33" s="3">
        <f>G33*H33</f>
        <v/>
      </c>
    </row>
    <row r="34">
      <c r="A34" s="2" t="n">
        <v>46188</v>
      </c>
      <c r="B34" t="inlineStr">
        <is>
          <t>PED-0033</t>
        </is>
      </c>
      <c r="C34" t="inlineStr">
        <is>
          <t>Game Pass</t>
        </is>
      </c>
      <c r="D34" t="inlineStr">
        <is>
          <t>Assinatura</t>
        </is>
      </c>
      <c r="E34" t="inlineStr">
        <is>
          <t>Online</t>
        </is>
      </c>
      <c r="F34" t="inlineStr">
        <is>
          <t>Nordeste</t>
        </is>
      </c>
      <c r="G34" t="n">
        <v>1</v>
      </c>
      <c r="H34" s="3" t="n">
        <v>59.9</v>
      </c>
      <c r="I34" s="3">
        <f>G34*H34</f>
        <v/>
      </c>
    </row>
    <row r="35">
      <c r="A35" s="2" t="n">
        <v>46180</v>
      </c>
      <c r="B35" t="inlineStr">
        <is>
          <t>PED-0034</t>
        </is>
      </c>
      <c r="C35" t="inlineStr">
        <is>
          <t>Controle Xbox</t>
        </is>
      </c>
      <c r="D35" t="inlineStr">
        <is>
          <t>Acessórios</t>
        </is>
      </c>
      <c r="E35" t="inlineStr">
        <is>
          <t>Online</t>
        </is>
      </c>
      <c r="F35" t="inlineStr">
        <is>
          <t>Norte</t>
        </is>
      </c>
      <c r="G35" t="n">
        <v>1</v>
      </c>
      <c r="H35" s="3" t="n">
        <v>349.9</v>
      </c>
      <c r="I35" s="3">
        <f>G35*H35</f>
        <v/>
      </c>
    </row>
    <row r="36">
      <c r="A36" s="2" t="n">
        <v>46063</v>
      </c>
      <c r="B36" t="inlineStr">
        <is>
          <t>PED-0035</t>
        </is>
      </c>
      <c r="C36" t="inlineStr">
        <is>
          <t>Console Xbox</t>
        </is>
      </c>
      <c r="D36" t="inlineStr">
        <is>
          <t>Hardware</t>
        </is>
      </c>
      <c r="E36" t="inlineStr">
        <is>
          <t>Online</t>
        </is>
      </c>
      <c r="F36" t="inlineStr">
        <is>
          <t>Norte</t>
        </is>
      </c>
      <c r="G36" t="n">
        <v>4</v>
      </c>
      <c r="H36" s="3" t="n">
        <v>2499.9</v>
      </c>
      <c r="I36" s="3">
        <f>G36*H36</f>
        <v/>
      </c>
    </row>
    <row r="37">
      <c r="A37" s="2" t="n">
        <v>46087</v>
      </c>
      <c r="B37" t="inlineStr">
        <is>
          <t>PED-0036</t>
        </is>
      </c>
      <c r="C37" t="inlineStr">
        <is>
          <t>Controle Xbox</t>
        </is>
      </c>
      <c r="D37" t="inlineStr">
        <is>
          <t>Acessórios</t>
        </is>
      </c>
      <c r="E37" t="inlineStr">
        <is>
          <t>Marketplace</t>
        </is>
      </c>
      <c r="F37" t="inlineStr">
        <is>
          <t>Sul</t>
        </is>
      </c>
      <c r="G37" t="n">
        <v>4</v>
      </c>
      <c r="H37" s="3" t="n">
        <v>349.9</v>
      </c>
      <c r="I37" s="3">
        <f>G37*H37</f>
        <v/>
      </c>
    </row>
    <row r="38">
      <c r="A38" s="2" t="n">
        <v>46158</v>
      </c>
      <c r="B38" t="inlineStr">
        <is>
          <t>PED-0037</t>
        </is>
      </c>
      <c r="C38" t="inlineStr">
        <is>
          <t>Jogo Digital</t>
        </is>
      </c>
      <c r="D38" t="inlineStr">
        <is>
          <t>Jogos</t>
        </is>
      </c>
      <c r="E38" t="inlineStr">
        <is>
          <t>Loja Física</t>
        </is>
      </c>
      <c r="F38" t="inlineStr">
        <is>
          <t>Sul</t>
        </is>
      </c>
      <c r="G38" t="n">
        <v>5</v>
      </c>
      <c r="H38" s="3" t="n">
        <v>299.9</v>
      </c>
      <c r="I38" s="3">
        <f>G38*H38</f>
        <v/>
      </c>
    </row>
    <row r="39">
      <c r="A39" s="2" t="n">
        <v>46299</v>
      </c>
      <c r="B39" t="inlineStr">
        <is>
          <t>PED-0038</t>
        </is>
      </c>
      <c r="C39" t="inlineStr">
        <is>
          <t>Controle Xbox</t>
        </is>
      </c>
      <c r="D39" t="inlineStr">
        <is>
          <t>Acessórios</t>
        </is>
      </c>
      <c r="E39" t="inlineStr">
        <is>
          <t>Loja Física</t>
        </is>
      </c>
      <c r="F39" t="inlineStr">
        <is>
          <t>Nordeste</t>
        </is>
      </c>
      <c r="G39" t="n">
        <v>3</v>
      </c>
      <c r="H39" s="3" t="n">
        <v>349.9</v>
      </c>
      <c r="I39" s="3">
        <f>G39*H39</f>
        <v/>
      </c>
    </row>
    <row r="40">
      <c r="A40" s="2" t="n">
        <v>46247</v>
      </c>
      <c r="B40" t="inlineStr">
        <is>
          <t>PED-0039</t>
        </is>
      </c>
      <c r="C40" t="inlineStr">
        <is>
          <t>Jogo Digital</t>
        </is>
      </c>
      <c r="D40" t="inlineStr">
        <is>
          <t>Jogos</t>
        </is>
      </c>
      <c r="E40" t="inlineStr">
        <is>
          <t>Online</t>
        </is>
      </c>
      <c r="F40" t="inlineStr">
        <is>
          <t>Sul</t>
        </is>
      </c>
      <c r="G40" t="n">
        <v>4</v>
      </c>
      <c r="H40" s="3" t="n">
        <v>299.9</v>
      </c>
      <c r="I40" s="3">
        <f>G40*H40</f>
        <v/>
      </c>
    </row>
    <row r="41">
      <c r="A41" s="2" t="n">
        <v>46138</v>
      </c>
      <c r="B41" t="inlineStr">
        <is>
          <t>PED-0040</t>
        </is>
      </c>
      <c r="C41" t="inlineStr">
        <is>
          <t>Console Xbox</t>
        </is>
      </c>
      <c r="D41" t="inlineStr">
        <is>
          <t>Hardware</t>
        </is>
      </c>
      <c r="E41" t="inlineStr">
        <is>
          <t>Online</t>
        </is>
      </c>
      <c r="F41" t="inlineStr">
        <is>
          <t>Norte</t>
        </is>
      </c>
      <c r="G41" t="n">
        <v>3</v>
      </c>
      <c r="H41" s="3" t="n">
        <v>2499.9</v>
      </c>
      <c r="I41" s="3">
        <f>G41*H41</f>
        <v/>
      </c>
    </row>
    <row r="42">
      <c r="A42" s="2" t="n">
        <v>46306</v>
      </c>
      <c r="B42" t="inlineStr">
        <is>
          <t>PED-0041</t>
        </is>
      </c>
      <c r="C42" t="inlineStr">
        <is>
          <t>Controle Xbox</t>
        </is>
      </c>
      <c r="D42" t="inlineStr">
        <is>
          <t>Acessórios</t>
        </is>
      </c>
      <c r="E42" t="inlineStr">
        <is>
          <t>Online</t>
        </is>
      </c>
      <c r="F42" t="inlineStr">
        <is>
          <t>Sudeste</t>
        </is>
      </c>
      <c r="G42" t="n">
        <v>5</v>
      </c>
      <c r="H42" s="3" t="n">
        <v>349.9</v>
      </c>
      <c r="I42" s="3">
        <f>G42*H42</f>
        <v/>
      </c>
    </row>
    <row r="43">
      <c r="A43" s="2" t="n">
        <v>46059</v>
      </c>
      <c r="B43" t="inlineStr">
        <is>
          <t>PED-0042</t>
        </is>
      </c>
      <c r="C43" t="inlineStr">
        <is>
          <t>Console Xbox</t>
        </is>
      </c>
      <c r="D43" t="inlineStr">
        <is>
          <t>Hardware</t>
        </is>
      </c>
      <c r="E43" t="inlineStr">
        <is>
          <t>Online</t>
        </is>
      </c>
      <c r="F43" t="inlineStr">
        <is>
          <t>Sudeste</t>
        </is>
      </c>
      <c r="G43" t="n">
        <v>2</v>
      </c>
      <c r="H43" s="3" t="n">
        <v>2499.9</v>
      </c>
      <c r="I43" s="3">
        <f>G43*H43</f>
        <v/>
      </c>
    </row>
    <row r="44">
      <c r="A44" s="2" t="n">
        <v>46192</v>
      </c>
      <c r="B44" t="inlineStr">
        <is>
          <t>PED-0043</t>
        </is>
      </c>
      <c r="C44" t="inlineStr">
        <is>
          <t>Console Xbox</t>
        </is>
      </c>
      <c r="D44" t="inlineStr">
        <is>
          <t>Hardware</t>
        </is>
      </c>
      <c r="E44" t="inlineStr">
        <is>
          <t>Online</t>
        </is>
      </c>
      <c r="F44" t="inlineStr">
        <is>
          <t>Nordeste</t>
        </is>
      </c>
      <c r="G44" t="n">
        <v>5</v>
      </c>
      <c r="H44" s="3" t="n">
        <v>2499.9</v>
      </c>
      <c r="I44" s="3">
        <f>G44*H44</f>
        <v/>
      </c>
    </row>
    <row r="45">
      <c r="A45" s="2" t="n">
        <v>46271</v>
      </c>
      <c r="B45" t="inlineStr">
        <is>
          <t>PED-0044</t>
        </is>
      </c>
      <c r="C45" t="inlineStr">
        <is>
          <t>Controle Xbox</t>
        </is>
      </c>
      <c r="D45" t="inlineStr">
        <is>
          <t>Acessórios</t>
        </is>
      </c>
      <c r="E45" t="inlineStr">
        <is>
          <t>Online</t>
        </is>
      </c>
      <c r="F45" t="inlineStr">
        <is>
          <t>Norte</t>
        </is>
      </c>
      <c r="G45" t="n">
        <v>5</v>
      </c>
      <c r="H45" s="3" t="n">
        <v>349.9</v>
      </c>
      <c r="I45" s="3">
        <f>G45*H45</f>
        <v/>
      </c>
    </row>
    <row r="46">
      <c r="A46" s="2" t="n">
        <v>46265</v>
      </c>
      <c r="B46" t="inlineStr">
        <is>
          <t>PED-0045</t>
        </is>
      </c>
      <c r="C46" t="inlineStr">
        <is>
          <t>Controle Xbox</t>
        </is>
      </c>
      <c r="D46" t="inlineStr">
        <is>
          <t>Acessórios</t>
        </is>
      </c>
      <c r="E46" t="inlineStr">
        <is>
          <t>Loja Física</t>
        </is>
      </c>
      <c r="F46" t="inlineStr">
        <is>
          <t>Sul</t>
        </is>
      </c>
      <c r="G46" t="n">
        <v>4</v>
      </c>
      <c r="H46" s="3" t="n">
        <v>349.9</v>
      </c>
      <c r="I46" s="3">
        <f>G46*H46</f>
        <v/>
      </c>
    </row>
    <row r="47">
      <c r="A47" s="2" t="n">
        <v>46071</v>
      </c>
      <c r="B47" t="inlineStr">
        <is>
          <t>PED-0046</t>
        </is>
      </c>
      <c r="C47" t="inlineStr">
        <is>
          <t>Console Xbox</t>
        </is>
      </c>
      <c r="D47" t="inlineStr">
        <is>
          <t>Hardware</t>
        </is>
      </c>
      <c r="E47" t="inlineStr">
        <is>
          <t>Loja Física</t>
        </is>
      </c>
      <c r="F47" t="inlineStr">
        <is>
          <t>Centro-Oeste</t>
        </is>
      </c>
      <c r="G47" t="n">
        <v>4</v>
      </c>
      <c r="H47" s="3" t="n">
        <v>2499.9</v>
      </c>
      <c r="I47" s="3">
        <f>G47*H47</f>
        <v/>
      </c>
    </row>
    <row r="48">
      <c r="A48" s="2" t="n">
        <v>46233</v>
      </c>
      <c r="B48" t="inlineStr">
        <is>
          <t>PED-0047</t>
        </is>
      </c>
      <c r="C48" t="inlineStr">
        <is>
          <t>Game Pass</t>
        </is>
      </c>
      <c r="D48" t="inlineStr">
        <is>
          <t>Assinatura</t>
        </is>
      </c>
      <c r="E48" t="inlineStr">
        <is>
          <t>Marketplace</t>
        </is>
      </c>
      <c r="F48" t="inlineStr">
        <is>
          <t>Sudeste</t>
        </is>
      </c>
      <c r="G48" t="n">
        <v>1</v>
      </c>
      <c r="H48" s="3" t="n">
        <v>59.9</v>
      </c>
      <c r="I48" s="3">
        <f>G48*H48</f>
        <v/>
      </c>
    </row>
    <row r="49">
      <c r="A49" s="2" t="n">
        <v>46054</v>
      </c>
      <c r="B49" t="inlineStr">
        <is>
          <t>PED-0048</t>
        </is>
      </c>
      <c r="C49" t="inlineStr">
        <is>
          <t>Game Pass</t>
        </is>
      </c>
      <c r="D49" t="inlineStr">
        <is>
          <t>Assinatura</t>
        </is>
      </c>
      <c r="E49" t="inlineStr">
        <is>
          <t>Online</t>
        </is>
      </c>
      <c r="F49" t="inlineStr">
        <is>
          <t>Sul</t>
        </is>
      </c>
      <c r="G49" t="n">
        <v>3</v>
      </c>
      <c r="H49" s="3" t="n">
        <v>59.9</v>
      </c>
      <c r="I49" s="3">
        <f>G49*H49</f>
        <v/>
      </c>
    </row>
    <row r="50">
      <c r="A50" s="2" t="n">
        <v>46121</v>
      </c>
      <c r="B50" t="inlineStr">
        <is>
          <t>PED-0049</t>
        </is>
      </c>
      <c r="C50" t="inlineStr">
        <is>
          <t>Controle Xbox</t>
        </is>
      </c>
      <c r="D50" t="inlineStr">
        <is>
          <t>Acessórios</t>
        </is>
      </c>
      <c r="E50" t="inlineStr">
        <is>
          <t>Loja Física</t>
        </is>
      </c>
      <c r="F50" t="inlineStr">
        <is>
          <t>Sul</t>
        </is>
      </c>
      <c r="G50" t="n">
        <v>5</v>
      </c>
      <c r="H50" s="3" t="n">
        <v>349.9</v>
      </c>
      <c r="I50" s="3">
        <f>G50*H50</f>
        <v/>
      </c>
    </row>
    <row r="51">
      <c r="A51" s="2" t="n">
        <v>46239</v>
      </c>
      <c r="B51" t="inlineStr">
        <is>
          <t>PED-0050</t>
        </is>
      </c>
      <c r="C51" t="inlineStr">
        <is>
          <t>Controle Xbox</t>
        </is>
      </c>
      <c r="D51" t="inlineStr">
        <is>
          <t>Acessórios</t>
        </is>
      </c>
      <c r="E51" t="inlineStr">
        <is>
          <t>Loja Física</t>
        </is>
      </c>
      <c r="F51" t="inlineStr">
        <is>
          <t>Sul</t>
        </is>
      </c>
      <c r="G51" t="n">
        <v>3</v>
      </c>
      <c r="H51" s="3" t="n">
        <v>349.9</v>
      </c>
      <c r="I51" s="3">
        <f>G51*H51</f>
        <v/>
      </c>
    </row>
    <row r="52">
      <c r="A52" s="2" t="n">
        <v>46061</v>
      </c>
      <c r="B52" t="inlineStr">
        <is>
          <t>PED-0051</t>
        </is>
      </c>
      <c r="C52" t="inlineStr">
        <is>
          <t>Game Pass</t>
        </is>
      </c>
      <c r="D52" t="inlineStr">
        <is>
          <t>Assinatura</t>
        </is>
      </c>
      <c r="E52" t="inlineStr">
        <is>
          <t>Online</t>
        </is>
      </c>
      <c r="F52" t="inlineStr">
        <is>
          <t>Sudeste</t>
        </is>
      </c>
      <c r="G52" t="n">
        <v>5</v>
      </c>
      <c r="H52" s="3" t="n">
        <v>59.9</v>
      </c>
      <c r="I52" s="3">
        <f>G52*H52</f>
        <v/>
      </c>
    </row>
    <row r="53">
      <c r="A53" s="2" t="n">
        <v>46299</v>
      </c>
      <c r="B53" t="inlineStr">
        <is>
          <t>PED-0052</t>
        </is>
      </c>
      <c r="C53" t="inlineStr">
        <is>
          <t>Console Xbox</t>
        </is>
      </c>
      <c r="D53" t="inlineStr">
        <is>
          <t>Hardware</t>
        </is>
      </c>
      <c r="E53" t="inlineStr">
        <is>
          <t>Online</t>
        </is>
      </c>
      <c r="F53" t="inlineStr">
        <is>
          <t>Sul</t>
        </is>
      </c>
      <c r="G53" t="n">
        <v>1</v>
      </c>
      <c r="H53" s="3" t="n">
        <v>2499.9</v>
      </c>
      <c r="I53" s="3">
        <f>G53*H53</f>
        <v/>
      </c>
    </row>
    <row r="54">
      <c r="A54" s="2" t="n">
        <v>46231</v>
      </c>
      <c r="B54" t="inlineStr">
        <is>
          <t>PED-0053</t>
        </is>
      </c>
      <c r="C54" t="inlineStr">
        <is>
          <t>Game Pass</t>
        </is>
      </c>
      <c r="D54" t="inlineStr">
        <is>
          <t>Assinatura</t>
        </is>
      </c>
      <c r="E54" t="inlineStr">
        <is>
          <t>Online</t>
        </is>
      </c>
      <c r="F54" t="inlineStr">
        <is>
          <t>Centro-Oeste</t>
        </is>
      </c>
      <c r="G54" t="n">
        <v>4</v>
      </c>
      <c r="H54" s="3" t="n">
        <v>59.9</v>
      </c>
      <c r="I54" s="3">
        <f>G54*H54</f>
        <v/>
      </c>
    </row>
    <row r="55">
      <c r="A55" s="2" t="n">
        <v>46053</v>
      </c>
      <c r="B55" t="inlineStr">
        <is>
          <t>PED-0054</t>
        </is>
      </c>
      <c r="C55" t="inlineStr">
        <is>
          <t>Controle Xbox</t>
        </is>
      </c>
      <c r="D55" t="inlineStr">
        <is>
          <t>Acessórios</t>
        </is>
      </c>
      <c r="E55" t="inlineStr">
        <is>
          <t>Online</t>
        </is>
      </c>
      <c r="F55" t="inlineStr">
        <is>
          <t>Centro-Oeste</t>
        </is>
      </c>
      <c r="G55" t="n">
        <v>4</v>
      </c>
      <c r="H55" s="3" t="n">
        <v>349.9</v>
      </c>
      <c r="I55" s="3">
        <f>G55*H55</f>
        <v/>
      </c>
    </row>
    <row r="56">
      <c r="A56" s="2" t="n">
        <v>46158</v>
      </c>
      <c r="B56" t="inlineStr">
        <is>
          <t>PED-0055</t>
        </is>
      </c>
      <c r="C56" t="inlineStr">
        <is>
          <t>Game Pass</t>
        </is>
      </c>
      <c r="D56" t="inlineStr">
        <is>
          <t>Assinatura</t>
        </is>
      </c>
      <c r="E56" t="inlineStr">
        <is>
          <t>Loja Física</t>
        </is>
      </c>
      <c r="F56" t="inlineStr">
        <is>
          <t>Norte</t>
        </is>
      </c>
      <c r="G56" t="n">
        <v>3</v>
      </c>
      <c r="H56" s="3" t="n">
        <v>59.9</v>
      </c>
      <c r="I56" s="3">
        <f>G56*H56</f>
        <v/>
      </c>
    </row>
    <row r="57">
      <c r="A57" s="2" t="n">
        <v>46272</v>
      </c>
      <c r="B57" t="inlineStr">
        <is>
          <t>PED-0056</t>
        </is>
      </c>
      <c r="C57" t="inlineStr">
        <is>
          <t>Controle Xbox</t>
        </is>
      </c>
      <c r="D57" t="inlineStr">
        <is>
          <t>Acessórios</t>
        </is>
      </c>
      <c r="E57" t="inlineStr">
        <is>
          <t>Loja Física</t>
        </is>
      </c>
      <c r="F57" t="inlineStr">
        <is>
          <t>Sul</t>
        </is>
      </c>
      <c r="G57" t="n">
        <v>2</v>
      </c>
      <c r="H57" s="3" t="n">
        <v>349.9</v>
      </c>
      <c r="I57" s="3">
        <f>G57*H57</f>
        <v/>
      </c>
    </row>
    <row r="58">
      <c r="A58" s="2" t="n">
        <v>46052</v>
      </c>
      <c r="B58" t="inlineStr">
        <is>
          <t>PED-0057</t>
        </is>
      </c>
      <c r="C58" t="inlineStr">
        <is>
          <t>Jogo Digital</t>
        </is>
      </c>
      <c r="D58" t="inlineStr">
        <is>
          <t>Jogos</t>
        </is>
      </c>
      <c r="E58" t="inlineStr">
        <is>
          <t>Online</t>
        </is>
      </c>
      <c r="F58" t="inlineStr">
        <is>
          <t>Nordeste</t>
        </is>
      </c>
      <c r="G58" t="n">
        <v>5</v>
      </c>
      <c r="H58" s="3" t="n">
        <v>299.9</v>
      </c>
      <c r="I58" s="3">
        <f>G58*H58</f>
        <v/>
      </c>
    </row>
    <row r="59">
      <c r="A59" s="2" t="n">
        <v>46052</v>
      </c>
      <c r="B59" t="inlineStr">
        <is>
          <t>PED-0058</t>
        </is>
      </c>
      <c r="C59" t="inlineStr">
        <is>
          <t>Console Xbox</t>
        </is>
      </c>
      <c r="D59" t="inlineStr">
        <is>
          <t>Hardware</t>
        </is>
      </c>
      <c r="E59" t="inlineStr">
        <is>
          <t>Loja Física</t>
        </is>
      </c>
      <c r="F59" t="inlineStr">
        <is>
          <t>Norte</t>
        </is>
      </c>
      <c r="G59" t="n">
        <v>5</v>
      </c>
      <c r="H59" s="3" t="n">
        <v>2499.9</v>
      </c>
      <c r="I59" s="3">
        <f>G59*H59</f>
        <v/>
      </c>
    </row>
    <row r="60">
      <c r="A60" s="2" t="n">
        <v>46294</v>
      </c>
      <c r="B60" t="inlineStr">
        <is>
          <t>PED-0059</t>
        </is>
      </c>
      <c r="C60" t="inlineStr">
        <is>
          <t>Controle Xbox</t>
        </is>
      </c>
      <c r="D60" t="inlineStr">
        <is>
          <t>Acessórios</t>
        </is>
      </c>
      <c r="E60" t="inlineStr">
        <is>
          <t>Marketplace</t>
        </is>
      </c>
      <c r="F60" t="inlineStr">
        <is>
          <t>Sudeste</t>
        </is>
      </c>
      <c r="G60" t="n">
        <v>1</v>
      </c>
      <c r="H60" s="3" t="n">
        <v>349.9</v>
      </c>
      <c r="I60" s="3">
        <f>G60*H60</f>
        <v/>
      </c>
    </row>
    <row r="61">
      <c r="A61" s="2" t="n">
        <v>46118</v>
      </c>
      <c r="B61" t="inlineStr">
        <is>
          <t>PED-0060</t>
        </is>
      </c>
      <c r="C61" t="inlineStr">
        <is>
          <t>Console Xbox</t>
        </is>
      </c>
      <c r="D61" t="inlineStr">
        <is>
          <t>Hardware</t>
        </is>
      </c>
      <c r="E61" t="inlineStr">
        <is>
          <t>Online</t>
        </is>
      </c>
      <c r="F61" t="inlineStr">
        <is>
          <t>Sul</t>
        </is>
      </c>
      <c r="G61" t="n">
        <v>5</v>
      </c>
      <c r="H61" s="3" t="n">
        <v>2499.9</v>
      </c>
      <c r="I61" s="3">
        <f>G61*H61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4" customHeight="1">
      <c r="A1" s="4" t="inlineStr">
        <is>
          <t>DASHBOARD DE VENDAS</t>
        </is>
      </c>
    </row>
    <row r="3">
      <c r="A3" s="5" t="inlineStr">
        <is>
          <t>FATURAMENTO TOTAL</t>
        </is>
      </c>
      <c r="E3" s="5" t="inlineStr">
        <is>
          <t>UNIDADES VENDIDAS</t>
        </is>
      </c>
      <c r="I3" s="5" t="inlineStr">
        <is>
          <t>PEDIDOS</t>
        </is>
      </c>
    </row>
    <row r="4">
      <c r="A4" s="6">
        <f>SUM('Base de Vendas'!I2:I61)</f>
        <v/>
      </c>
      <c r="E4" s="7">
        <f>SUM('Base de Vendas'!G2:G61)</f>
        <v/>
      </c>
      <c r="I4" s="7">
        <f>COUNTA('Base de Vendas'!B2:B61)</f>
        <v/>
      </c>
    </row>
    <row r="5"/>
    <row r="8">
      <c r="A8" s="8" t="inlineStr">
        <is>
          <t>Produto</t>
        </is>
      </c>
      <c r="B8" s="8" t="inlineStr">
        <is>
          <t>Faturamento</t>
        </is>
      </c>
      <c r="D8" s="8" t="inlineStr">
        <is>
          <t>Canal</t>
        </is>
      </c>
      <c r="E8" s="8" t="inlineStr">
        <is>
          <t>Faturamento</t>
        </is>
      </c>
      <c r="G8" s="8" t="inlineStr">
        <is>
          <t>Mês</t>
        </is>
      </c>
      <c r="H8" s="8" t="inlineStr">
        <is>
          <t>Faturamento</t>
        </is>
      </c>
    </row>
    <row r="9">
      <c r="A9" s="9" t="inlineStr">
        <is>
          <t>Console Xbox</t>
        </is>
      </c>
      <c r="B9" s="10">
        <f>SUMIF('Base de Vendas'!C:C,A9,'Base de Vendas'!I:I)</f>
        <v/>
      </c>
      <c r="D9" s="9" t="inlineStr">
        <is>
          <t>Online</t>
        </is>
      </c>
      <c r="E9" s="10">
        <f>SUMIF('Base de Vendas'!E:E,D9,'Base de Vendas'!I:I)</f>
        <v/>
      </c>
      <c r="G9" s="11" t="n">
        <v>46023</v>
      </c>
      <c r="H9" s="10">
        <f>SUMIFS('Base de Vendas'!I:I,'Base de Vendas'!A:A,"&gt;="&amp;G9,'Base de Vendas'!A:A,"&lt;"&amp;EDATE(G9,1))</f>
        <v/>
      </c>
    </row>
    <row r="10">
      <c r="A10" s="9" t="inlineStr">
        <is>
          <t>Controle Xbox</t>
        </is>
      </c>
      <c r="B10" s="10">
        <f>SUMIF('Base de Vendas'!C:C,A10,'Base de Vendas'!I:I)</f>
        <v/>
      </c>
      <c r="D10" s="9" t="inlineStr">
        <is>
          <t>Loja Física</t>
        </is>
      </c>
      <c r="E10" s="10">
        <f>SUMIF('Base de Vendas'!E:E,D10,'Base de Vendas'!I:I)</f>
        <v/>
      </c>
      <c r="G10" s="11" t="n">
        <v>46054</v>
      </c>
      <c r="H10" s="10">
        <f>SUMIFS('Base de Vendas'!I:I,'Base de Vendas'!A:A,"&gt;="&amp;G10,'Base de Vendas'!A:A,"&lt;"&amp;EDATE(G10,1))</f>
        <v/>
      </c>
    </row>
    <row r="11">
      <c r="A11" s="9" t="inlineStr">
        <is>
          <t>Headset Gamer</t>
        </is>
      </c>
      <c r="B11" s="10">
        <f>SUMIF('Base de Vendas'!C:C,A11,'Base de Vendas'!I:I)</f>
        <v/>
      </c>
      <c r="D11" s="9" t="inlineStr">
        <is>
          <t>Marketplace</t>
        </is>
      </c>
      <c r="E11" s="10">
        <f>SUMIF('Base de Vendas'!E:E,D11,'Base de Vendas'!I:I)</f>
        <v/>
      </c>
      <c r="G11" s="11" t="n">
        <v>46082</v>
      </c>
      <c r="H11" s="10">
        <f>SUMIFS('Base de Vendas'!I:I,'Base de Vendas'!A:A,"&gt;="&amp;G11,'Base de Vendas'!A:A,"&lt;"&amp;EDATE(G11,1))</f>
        <v/>
      </c>
    </row>
    <row r="12">
      <c r="A12" s="9" t="inlineStr">
        <is>
          <t>Game Pass</t>
        </is>
      </c>
      <c r="B12" s="10">
        <f>SUMIF('Base de Vendas'!C:C,A12,'Base de Vendas'!I:I)</f>
        <v/>
      </c>
      <c r="G12" s="11" t="n">
        <v>46113</v>
      </c>
      <c r="H12" s="10">
        <f>SUMIFS('Base de Vendas'!I:I,'Base de Vendas'!A:A,"&gt;="&amp;G12,'Base de Vendas'!A:A,"&lt;"&amp;EDATE(G12,1))</f>
        <v/>
      </c>
    </row>
    <row r="13">
      <c r="A13" s="9" t="inlineStr">
        <is>
          <t>Jogo Digital</t>
        </is>
      </c>
      <c r="B13" s="10">
        <f>SUMIF('Base de Vendas'!C:C,A13,'Base de Vendas'!I:I)</f>
        <v/>
      </c>
      <c r="G13" s="11" t="n">
        <v>46143</v>
      </c>
      <c r="H13" s="10">
        <f>SUMIFS('Base de Vendas'!I:I,'Base de Vendas'!A:A,"&gt;="&amp;G13,'Base de Vendas'!A:A,"&lt;"&amp;EDATE(G13,1))</f>
        <v/>
      </c>
    </row>
    <row r="14">
      <c r="G14" s="11" t="n">
        <v>46174</v>
      </c>
      <c r="H14" s="10">
        <f>SUMIFS('Base de Vendas'!I:I,'Base de Vendas'!A:A,"&gt;="&amp;G14,'Base de Vendas'!A:A,"&lt;"&amp;EDATE(G14,1))</f>
        <v/>
      </c>
    </row>
    <row r="15">
      <c r="G15" s="11" t="n">
        <v>46204</v>
      </c>
      <c r="H15" s="10">
        <f>SUMIFS('Base de Vendas'!I:I,'Base de Vendas'!A:A,"&gt;="&amp;G15,'Base de Vendas'!A:A,"&lt;"&amp;EDATE(G15,1))</f>
        <v/>
      </c>
    </row>
    <row r="16">
      <c r="G16" s="11" t="n">
        <v>46235</v>
      </c>
      <c r="H16" s="10">
        <f>SUMIFS('Base de Vendas'!I:I,'Base de Vendas'!A:A,"&gt;="&amp;G16,'Base de Vendas'!A:A,"&lt;"&amp;EDATE(G16,1))</f>
        <v/>
      </c>
    </row>
    <row r="17">
      <c r="G17" s="11" t="n">
        <v>46266</v>
      </c>
      <c r="H17" s="10">
        <f>SUMIFS('Base de Vendas'!I:I,'Base de Vendas'!A:A,"&gt;="&amp;G17,'Base de Vendas'!A:A,"&lt;"&amp;EDATE(G17,1))</f>
        <v/>
      </c>
    </row>
    <row r="18">
      <c r="G18" s="11" t="n">
        <v>46296</v>
      </c>
      <c r="H18" s="10">
        <f>SUMIFS('Base de Vendas'!I:I,'Base de Vendas'!A:A,"&gt;="&amp;G18,'Base de Vendas'!A:A,"&lt;"&amp;EDATE(G18,1))</f>
        <v/>
      </c>
    </row>
    <row r="19">
      <c r="G19" s="11" t="n">
        <v>46327</v>
      </c>
      <c r="H19" s="10">
        <f>SUMIFS('Base de Vendas'!I:I,'Base de Vendas'!A:A,"&gt;="&amp;G19,'Base de Vendas'!A:A,"&lt;"&amp;EDATE(G19,1))</f>
        <v/>
      </c>
    </row>
    <row r="20">
      <c r="G20" s="11" t="n">
        <v>46357</v>
      </c>
      <c r="H20" s="10">
        <f>SUMIFS('Base de Vendas'!I:I,'Base de Vendas'!A:A,"&gt;="&amp;G20,'Base de Vendas'!A:A,"&lt;"&amp;EDATE(G20,1))</f>
        <v/>
      </c>
    </row>
  </sheetData>
  <mergeCells count="7">
    <mergeCell ref="A1:L1"/>
    <mergeCell ref="A3:C3"/>
    <mergeCell ref="A4:C5"/>
    <mergeCell ref="E3:G3"/>
    <mergeCell ref="E4:G5"/>
    <mergeCell ref="I3:K3"/>
    <mergeCell ref="I4:K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2026-10-17T14:05:14Z</dcterms:created>
  <dcterms:modified xmlns:dcterms="http://purl.org/dc/terms/" xmlns:xsi="http://www.w3.org/2001/XMLSchema-instance" xsi:type="dcterms:W3CDTF">2026-10-17T14:05:14Z</dcterms:modified>
</cp:coreProperties>
</file>